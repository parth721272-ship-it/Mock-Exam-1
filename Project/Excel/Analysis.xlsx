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adaaa1f23bb51c/Desktop/Project/Excel/"/>
    </mc:Choice>
  </mc:AlternateContent>
  <xr:revisionPtr revIDLastSave="0" documentId="8_{2013CBE3-6E87-4EEC-9BFF-9B8FA9F6083E}" xr6:coauthVersionLast="47" xr6:coauthVersionMax="47" xr10:uidLastSave="{00000000-0000-0000-0000-000000000000}"/>
  <bookViews>
    <workbookView xWindow="-108" yWindow="-108" windowWidth="23256" windowHeight="12456" xr2:uid="{B619AC5D-0E24-43FD-ADCB-AA3F2D244828}"/>
  </bookViews>
  <sheets>
    <sheet name="Raw" sheetId="1" r:id="rId1"/>
    <sheet name="Lookup" sheetId="2" r:id="rId2"/>
    <sheet name="Clean" sheetId="3" r:id="rId3"/>
    <sheet name="Summery" sheetId="4" r:id="rId4"/>
  </sheet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4" l="1"/>
  <c r="B3" i="4"/>
  <c r="B2" i="4"/>
  <c r="H13" i="3"/>
  <c r="H12" i="3"/>
  <c r="H11" i="3"/>
  <c r="H10" i="3"/>
  <c r="H9" i="3"/>
  <c r="H8" i="3"/>
  <c r="H7" i="3"/>
  <c r="H6" i="3"/>
  <c r="H5" i="3"/>
  <c r="H4" i="3"/>
  <c r="H3" i="3"/>
  <c r="H2" i="3"/>
  <c r="G13" i="3"/>
  <c r="G12" i="3"/>
  <c r="G11" i="3"/>
  <c r="G10" i="3"/>
  <c r="G9" i="3"/>
  <c r="G8" i="3"/>
  <c r="G7" i="3"/>
  <c r="G6" i="3"/>
  <c r="G5" i="3"/>
  <c r="G4" i="3"/>
  <c r="G3" i="3"/>
  <c r="G2" i="3"/>
  <c r="O3" i="3"/>
  <c r="O2" i="3"/>
</calcChain>
</file>

<file path=xl/sharedStrings.xml><?xml version="1.0" encoding="utf-8"?>
<sst xmlns="http://schemas.openxmlformats.org/spreadsheetml/2006/main" count="123" uniqueCount="35">
  <si>
    <t>ticket_id</t>
  </si>
  <si>
    <t>month</t>
  </si>
  <si>
    <t>team_id</t>
  </si>
  <si>
    <t>channel</t>
  </si>
  <si>
    <t>resolution_hours</t>
  </si>
  <si>
    <t>satisfaction</t>
  </si>
  <si>
    <t>Jan</t>
  </si>
  <si>
    <t>T1</t>
  </si>
  <si>
    <t>Email</t>
  </si>
  <si>
    <t>T2</t>
  </si>
  <si>
    <t>Chat</t>
  </si>
  <si>
    <t>T3</t>
  </si>
  <si>
    <t>Phone</t>
  </si>
  <si>
    <t>T4</t>
  </si>
  <si>
    <t>Feb</t>
  </si>
  <si>
    <t>Mar</t>
  </si>
  <si>
    <t>team</t>
  </si>
  <si>
    <t>department</t>
  </si>
  <si>
    <t>AccountCare</t>
  </si>
  <si>
    <t>Service</t>
  </si>
  <si>
    <t>BillingHelp</t>
  </si>
  <si>
    <t>AppSupport</t>
  </si>
  <si>
    <t>Technical</t>
  </si>
  <si>
    <t>DeviceHelp</t>
  </si>
  <si>
    <t>Row Count</t>
  </si>
  <si>
    <t>Count</t>
  </si>
  <si>
    <t>Before Cleaning</t>
  </si>
  <si>
    <t>After Cleaning</t>
  </si>
  <si>
    <t>breach_flag</t>
  </si>
  <si>
    <t>Channel</t>
  </si>
  <si>
    <t>Breached Tickets</t>
  </si>
  <si>
    <t>Row Labels</t>
  </si>
  <si>
    <t>Grand Total</t>
  </si>
  <si>
    <t>Column Labels</t>
  </si>
  <si>
    <t>Average of resolution_hours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</si>
</sst>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2" borderId="3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0" borderId="0" xfId="0" applyAlignment="1"/>
    <xf numFmtId="2" fontId="0" fillId="0" borderId="0" xfId="0" applyNumberFormat="1"/>
    <xf numFmtId="0" fontId="0" fillId="0" borderId="4" xfId="0" pivotButton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applyNumberFormat="1" applyBorder="1" applyAlignment="1">
      <alignment horizontal="left"/>
    </xf>
    <xf numFmtId="2" fontId="0" fillId="0" borderId="4" xfId="0" applyNumberFormat="1" applyBorder="1" applyAlignment="1">
      <alignment horizontal="left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</cellXfs>
  <cellStyles count="1">
    <cellStyle name="Normal" xfId="0" builtinId="0"/>
  </cellStyles>
  <dxfs count="73"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2" formatCode="0.0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2" formatCode="0.00"/>
    </dxf>
    <dxf>
      <numFmt numFmtId="2" formatCode="0.0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[Analysis.xlsx]Summery!PivotTable3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Summery!$B$6:$B$7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Summery!$A$8:$A$10</c:f>
              <c:strCache>
                <c:ptCount val="2"/>
                <c:pt idx="0">
                  <c:v>Service</c:v>
                </c:pt>
                <c:pt idx="1">
                  <c:v>Technical</c:v>
                </c:pt>
              </c:strCache>
            </c:strRef>
          </c:cat>
          <c:val>
            <c:numRef>
              <c:f>Summery!$B$8:$B$10</c:f>
              <c:numCache>
                <c:formatCode>General</c:formatCode>
                <c:ptCount val="2"/>
                <c:pt idx="0">
                  <c:v>20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F9-4E8A-B12C-B8ED555E3BAF}"/>
            </c:ext>
          </c:extLst>
        </c:ser>
        <c:ser>
          <c:idx val="1"/>
          <c:order val="1"/>
          <c:tx>
            <c:strRef>
              <c:f>Summery!$C$6:$C$7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Summery!$A$8:$A$10</c:f>
              <c:strCache>
                <c:ptCount val="2"/>
                <c:pt idx="0">
                  <c:v>Service</c:v>
                </c:pt>
                <c:pt idx="1">
                  <c:v>Technical</c:v>
                </c:pt>
              </c:strCache>
            </c:strRef>
          </c:cat>
          <c:val>
            <c:numRef>
              <c:f>Summery!$C$8:$C$10</c:f>
              <c:numCache>
                <c:formatCode>General</c:formatCode>
                <c:ptCount val="2"/>
                <c:pt idx="0">
                  <c:v>19</c:v>
                </c:pt>
                <c:pt idx="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F9-4E8A-B12C-B8ED555E3BAF}"/>
            </c:ext>
          </c:extLst>
        </c:ser>
        <c:ser>
          <c:idx val="2"/>
          <c:order val="2"/>
          <c:tx>
            <c:strRef>
              <c:f>Summery!$D$6:$D$7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Summery!$A$8:$A$10</c:f>
              <c:strCache>
                <c:ptCount val="2"/>
                <c:pt idx="0">
                  <c:v>Service</c:v>
                </c:pt>
                <c:pt idx="1">
                  <c:v>Technical</c:v>
                </c:pt>
              </c:strCache>
            </c:strRef>
          </c:cat>
          <c:val>
            <c:numRef>
              <c:f>Summery!$D$8:$D$10</c:f>
              <c:numCache>
                <c:formatCode>General</c:formatCode>
                <c:ptCount val="2"/>
                <c:pt idx="0">
                  <c:v>19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F9-4E8A-B12C-B8ED555E3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5052783"/>
        <c:axId val="1770262255"/>
      </c:barChart>
      <c:catAx>
        <c:axId val="1855052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262255"/>
        <c:crosses val="autoZero"/>
        <c:auto val="1"/>
        <c:lblAlgn val="ctr"/>
        <c:lblOffset val="100"/>
        <c:noMultiLvlLbl val="0"/>
      </c:catAx>
      <c:valAx>
        <c:axId val="177026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052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95250</xdr:rowOff>
    </xdr:from>
    <xdr:to>
      <xdr:col>7</xdr:col>
      <xdr:colOff>441960</xdr:colOff>
      <xdr:row>25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31EA3A-56E1-26CE-4911-DDE2704B4E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th patel" refreshedDate="46294.423823958336" createdVersion="8" refreshedVersion="8" minRefreshableVersion="3" recordCount="12" xr:uid="{E365AF60-EAC0-4607-A941-2C851B8D615F}">
  <cacheSource type="worksheet">
    <worksheetSource name="Table5"/>
  </cacheSource>
  <cacheFields count="8">
    <cacheField name="ticket_id" numFmtId="0">
      <sharedItems containsSemiMixedTypes="0" containsString="0" containsNumber="1" containsInteger="1" minValue="1" maxValue="12"/>
    </cacheField>
    <cacheField name="month" numFmtId="0">
      <sharedItems count="3">
        <s v="Jan"/>
        <s v="Feb"/>
        <s v="Mar"/>
      </sharedItems>
    </cacheField>
    <cacheField name="team_id" numFmtId="0">
      <sharedItems/>
    </cacheField>
    <cacheField name="channel" numFmtId="0">
      <sharedItems/>
    </cacheField>
    <cacheField name="resolution_hours" numFmtId="0">
      <sharedItems containsSemiMixedTypes="0" containsString="0" containsNumber="1" containsInteger="1" minValue="8" maxValue="40"/>
    </cacheField>
    <cacheField name="satisfaction" numFmtId="0">
      <sharedItems containsSemiMixedTypes="0" containsString="0" containsNumber="1" containsInteger="1" minValue="2" maxValue="5"/>
    </cacheField>
    <cacheField name="department" numFmtId="0">
      <sharedItems count="2">
        <s v="Service"/>
        <s v="Technical"/>
      </sharedItems>
    </cacheField>
    <cacheField name="breach_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  <s v="T1"/>
    <s v="Email"/>
    <n v="12"/>
    <n v="4"/>
    <x v="0"/>
    <n v="0"/>
  </r>
  <r>
    <n v="2"/>
    <x v="0"/>
    <s v="T2"/>
    <s v="Chat"/>
    <n v="28"/>
    <n v="3"/>
    <x v="0"/>
    <n v="1"/>
  </r>
  <r>
    <n v="3"/>
    <x v="0"/>
    <s v="T3"/>
    <s v="Phone"/>
    <n v="36"/>
    <n v="2"/>
    <x v="1"/>
    <n v="1"/>
  </r>
  <r>
    <n v="4"/>
    <x v="0"/>
    <s v="T4"/>
    <s v="Email"/>
    <n v="20"/>
    <n v="4"/>
    <x v="1"/>
    <n v="0"/>
  </r>
  <r>
    <n v="5"/>
    <x v="1"/>
    <s v="T1"/>
    <s v="Chat"/>
    <n v="8"/>
    <n v="5"/>
    <x v="0"/>
    <n v="0"/>
  </r>
  <r>
    <n v="6"/>
    <x v="1"/>
    <s v="T2"/>
    <s v="Phone"/>
    <n v="30"/>
    <n v="3"/>
    <x v="0"/>
    <n v="1"/>
  </r>
  <r>
    <n v="7"/>
    <x v="1"/>
    <s v="T3"/>
    <s v="Email"/>
    <n v="18"/>
    <n v="4"/>
    <x v="1"/>
    <n v="0"/>
  </r>
  <r>
    <n v="8"/>
    <x v="1"/>
    <s v="T4"/>
    <s v="Chat"/>
    <n v="40"/>
    <n v="2"/>
    <x v="1"/>
    <n v="1"/>
  </r>
  <r>
    <n v="9"/>
    <x v="2"/>
    <s v="T1"/>
    <s v="Phone"/>
    <n v="16"/>
    <n v="4"/>
    <x v="0"/>
    <n v="0"/>
  </r>
  <r>
    <n v="10"/>
    <x v="2"/>
    <s v="T2"/>
    <s v="Email"/>
    <n v="22"/>
    <n v="4"/>
    <x v="0"/>
    <n v="0"/>
  </r>
  <r>
    <n v="11"/>
    <x v="2"/>
    <s v="T3"/>
    <s v="Chat"/>
    <n v="32"/>
    <n v="3"/>
    <x v="1"/>
    <n v="1"/>
  </r>
  <r>
    <n v="12"/>
    <x v="2"/>
    <s v="T4"/>
    <s v="Phone"/>
    <n v="24"/>
    <n v="5"/>
    <x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36DD9B-BD4A-4F46-87E1-79111BF808AC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6:E10" firstHeaderRow="1" firstDataRow="2" firstDataCol="1"/>
  <pivotFields count="8"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axis="axisRow" compact="0" outline="0" subtotalTop="0" showAll="0">
      <items count="3">
        <item x="0"/>
        <item x="1"/>
        <item t="default"/>
      </items>
    </pivotField>
    <pivotField showAll="0"/>
  </pivotFields>
  <rowFields count="1">
    <field x="6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Average of resolution_hours" fld="4" subtotal="average" baseField="0" baseItem="0"/>
  </dataFields>
  <formats count="21">
    <format dxfId="49">
      <pivotArea type="all" dataOnly="0" outline="0" fieldPosition="0"/>
    </format>
    <format dxfId="48">
      <pivotArea outline="0" collapsedLevelsAreSubtotals="1" fieldPosition="0"/>
    </format>
    <format dxfId="47">
      <pivotArea type="origin" dataOnly="0" labelOnly="1" outline="0" fieldPosition="0"/>
    </format>
    <format dxfId="46">
      <pivotArea field="1" type="button" dataOnly="0" labelOnly="1" outline="0" axis="axisCol" fieldPosition="0"/>
    </format>
    <format dxfId="45">
      <pivotArea type="topRight" dataOnly="0" labelOnly="1" outline="0" fieldPosition="0"/>
    </format>
    <format dxfId="44">
      <pivotArea field="6" type="button" dataOnly="0" labelOnly="1" outline="0" axis="axisRow" fieldPosition="0"/>
    </format>
    <format dxfId="43">
      <pivotArea dataOnly="0" labelOnly="1" fieldPosition="0">
        <references count="1">
          <reference field="6" count="0"/>
        </references>
      </pivotArea>
    </format>
    <format dxfId="42">
      <pivotArea dataOnly="0" labelOnly="1" grandRow="1" outline="0" fieldPosition="0"/>
    </format>
    <format dxfId="41">
      <pivotArea dataOnly="0" labelOnly="1" fieldPosition="0">
        <references count="1">
          <reference field="1" count="0"/>
        </references>
      </pivotArea>
    </format>
    <format dxfId="40">
      <pivotArea dataOnly="0" labelOnly="1" grandCol="1" outline="0" fieldPosition="0"/>
    </format>
    <format dxfId="39">
      <pivotArea grandCol="1" outline="0" collapsedLevelsAreSubtotals="1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type="origin" dataOnly="0" labelOnly="1" outline="0" fieldPosition="0"/>
    </format>
    <format dxfId="12">
      <pivotArea field="1" type="button" dataOnly="0" labelOnly="1" outline="0" axis="axisCol" fieldPosition="0"/>
    </format>
    <format dxfId="11">
      <pivotArea type="topRight" dataOnly="0" labelOnly="1" outline="0" fieldPosition="0"/>
    </format>
    <format dxfId="10">
      <pivotArea field="6" type="button" dataOnly="0" labelOnly="1" outline="0" axis="axisRow" fieldPosition="0"/>
    </format>
    <format dxfId="9">
      <pivotArea dataOnly="0" labelOnly="1" outline="0" fieldPosition="0">
        <references count="1">
          <reference field="6" count="0"/>
        </references>
      </pivotArea>
    </format>
    <format dxfId="8">
      <pivotArea dataOnly="0" labelOnly="1" grandRow="1" outline="0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grandCol="1" outline="0" fieldPosition="0"/>
    </format>
  </formats>
  <chartFormats count="3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3B2EB0-BE19-4C21-8ECF-C6F5DE91BEB8}" name="RawTickets" displayName="RawTickets" ref="A1:F14" totalsRowShown="0" headerRowDxfId="65" dataDxfId="66">
  <autoFilter ref="A1:F14" xr:uid="{583B2EB0-BE19-4C21-8ECF-C6F5DE91BEB8}"/>
  <tableColumns count="6">
    <tableColumn id="1" xr3:uid="{221CDCBC-B75C-4C2C-A65D-3F5CB1157E3D}" name="ticket_id" dataDxfId="72"/>
    <tableColumn id="2" xr3:uid="{E34D95C9-A798-4B22-9229-3C29B1638B57}" name="month" dataDxfId="71"/>
    <tableColumn id="3" xr3:uid="{53361D11-D529-43FD-B09F-D6BC2BFB99A5}" name="team_id" dataDxfId="70"/>
    <tableColumn id="4" xr3:uid="{A31D0AA4-19A7-4D89-898B-9FC49533AF0A}" name="channel" dataDxfId="69"/>
    <tableColumn id="5" xr3:uid="{CA640492-5F33-4183-A6C7-18B373307926}" name="resolution_hours" dataDxfId="68"/>
    <tableColumn id="6" xr3:uid="{E8AF78E0-0EF4-4EDD-9752-34FE702DA3FB}" name="satisfaction" dataDxfId="6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677BBC-F984-4A51-BAEB-36717D262992}" name="TeamsLookup" displayName="TeamsLookup" ref="A1:C5" totalsRowShown="0" headerRowDxfId="64" dataDxfId="56">
  <autoFilter ref="A1:C5" xr:uid="{8C677BBC-F984-4A51-BAEB-36717D262992}"/>
  <tableColumns count="3">
    <tableColumn id="1" xr3:uid="{8A4F273D-6091-48C5-A4C3-9557BAF1106F}" name="team_id" dataDxfId="59"/>
    <tableColumn id="2" xr3:uid="{3D9A62C6-2B27-4A05-925E-AFBB7171D8D9}" name="team" dataDxfId="58"/>
    <tableColumn id="3" xr3:uid="{EADAE042-63BB-484A-9966-0BCD8B1A9B5B}" name="department" dataDxfId="5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BA0DFF3-4AAE-4472-9CB4-185FD60E2174}" name="Table4" displayName="Table4" ref="N1:O4" totalsRowShown="0" headerRowDxfId="62" dataDxfId="63">
  <autoFilter ref="N1:O4" xr:uid="{5BA0DFF3-4AAE-4472-9CB4-185FD60E2174}"/>
  <tableColumns count="2">
    <tableColumn id="1" xr3:uid="{F6D39468-46E4-42CC-A871-89287C94BEE6}" name="Row Count" dataDxfId="60"/>
    <tableColumn id="2" xr3:uid="{20676B4E-15BA-4A49-8BFF-793F0EA19443}" name="Count" dataDxfId="6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205E39D-B84C-449C-9060-50CB7E7071D8}" name="Table5" displayName="Table5" ref="A1:H13" totalsRowShown="0">
  <autoFilter ref="A1:H13" xr:uid="{A205E39D-B84C-449C-9060-50CB7E7071D8}"/>
  <tableColumns count="8">
    <tableColumn id="1" xr3:uid="{838A7F35-A08D-4C6E-B029-D55D45805C3F}" name="ticket_id" dataDxfId="55"/>
    <tableColumn id="2" xr3:uid="{93E92A42-445D-4A62-9C5A-4230442A4B8F}" name="month" dataDxfId="54"/>
    <tableColumn id="3" xr3:uid="{E9BEC648-730D-4388-B36A-D89FF92A12F1}" name="team_id" dataDxfId="53"/>
    <tableColumn id="4" xr3:uid="{7115DC86-EE9D-423D-B4B0-C9B8CF6B4573}" name="channel" dataDxfId="52"/>
    <tableColumn id="5" xr3:uid="{4C3E08AF-7651-4F45-AE67-86D36B2A3DC5}" name="resolution_hours" dataDxfId="51"/>
    <tableColumn id="6" xr3:uid="{378300C8-5C3C-4E44-B19F-656133909228}" name="satisfaction" dataDxfId="50"/>
    <tableColumn id="7" xr3:uid="{C1693ACB-9CF2-4B89-81A5-423BD0397199}" name="department">
      <calculatedColumnFormula>_xlfn.XLOOKUP(C2,Lookup!$A$2:$A$5,Lookup!$C$2:$C$5)</calculatedColumnFormula>
    </tableColumn>
    <tableColumn id="8" xr3:uid="{F8BED948-6E30-49E0-9507-DE846116D080}" name="breach_flag">
      <calculatedColumnFormula>IF(E2&gt;24,1,0)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7E66B6C-5884-4105-A660-161451C5CDF2}" name="Table6" displayName="Table6" ref="A1:B4" totalsRowShown="0" headerRowDxfId="0" dataDxfId="16" headerRowBorderDxfId="4" tableBorderDxfId="5" totalsRowBorderDxfId="3">
  <autoFilter ref="A1:B4" xr:uid="{C7E66B6C-5884-4105-A660-161451C5CDF2}"/>
  <tableColumns count="2">
    <tableColumn id="1" xr3:uid="{44AC6B27-A6DA-4E7D-A439-314122805F9A}" name="Channel" dataDxfId="2"/>
    <tableColumn id="2" xr3:uid="{2573BB9F-0562-4551-9582-B5C746B55B8E}" name="Breached Tickets" dataDxfId="1">
      <calculatedColumnFormula>COUNTIFS(Clean!$D$2:$D$13,A2,Clean!$H$2:$H$13,1)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C650E-CA04-402F-8D7F-1A9D202B921B}">
  <dimension ref="A1:F14"/>
  <sheetViews>
    <sheetView tabSelected="1" workbookViewId="0">
      <selection activeCell="E17" sqref="E17"/>
    </sheetView>
  </sheetViews>
  <sheetFormatPr defaultRowHeight="14.4" x14ac:dyDescent="0.3"/>
  <cols>
    <col min="1" max="1" width="10.21875" customWidth="1"/>
    <col min="2" max="2" width="8.21875" customWidth="1"/>
    <col min="3" max="3" width="9.6640625" customWidth="1"/>
    <col min="4" max="4" width="9.44140625" customWidth="1"/>
    <col min="5" max="5" width="16.5546875" customWidth="1"/>
    <col min="6" max="6" width="12.6640625" customWidth="1"/>
  </cols>
  <sheetData>
    <row r="1" spans="1:6" s="3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">
      <c r="A2" s="5">
        <v>1</v>
      </c>
      <c r="B2" s="5" t="s">
        <v>6</v>
      </c>
      <c r="C2" s="5" t="s">
        <v>7</v>
      </c>
      <c r="D2" s="5" t="s">
        <v>8</v>
      </c>
      <c r="E2" s="5">
        <v>12</v>
      </c>
      <c r="F2" s="5">
        <v>4</v>
      </c>
    </row>
    <row r="3" spans="1:6" x14ac:dyDescent="0.3">
      <c r="A3" s="5">
        <v>2</v>
      </c>
      <c r="B3" s="5" t="s">
        <v>6</v>
      </c>
      <c r="C3" s="5" t="s">
        <v>9</v>
      </c>
      <c r="D3" s="5" t="s">
        <v>10</v>
      </c>
      <c r="E3" s="5">
        <v>28</v>
      </c>
      <c r="F3" s="5">
        <v>3</v>
      </c>
    </row>
    <row r="4" spans="1:6" x14ac:dyDescent="0.3">
      <c r="A4" s="5">
        <v>3</v>
      </c>
      <c r="B4" s="5" t="s">
        <v>6</v>
      </c>
      <c r="C4" s="5" t="s">
        <v>11</v>
      </c>
      <c r="D4" s="5" t="s">
        <v>12</v>
      </c>
      <c r="E4" s="5">
        <v>36</v>
      </c>
      <c r="F4" s="5">
        <v>2</v>
      </c>
    </row>
    <row r="5" spans="1:6" x14ac:dyDescent="0.3">
      <c r="A5" s="5">
        <v>4</v>
      </c>
      <c r="B5" s="5" t="s">
        <v>6</v>
      </c>
      <c r="C5" s="5" t="s">
        <v>13</v>
      </c>
      <c r="D5" s="5" t="s">
        <v>8</v>
      </c>
      <c r="E5" s="5">
        <v>20</v>
      </c>
      <c r="F5" s="5">
        <v>4</v>
      </c>
    </row>
    <row r="6" spans="1:6" x14ac:dyDescent="0.3">
      <c r="A6" s="5">
        <v>5</v>
      </c>
      <c r="B6" s="5" t="s">
        <v>14</v>
      </c>
      <c r="C6" s="5" t="s">
        <v>7</v>
      </c>
      <c r="D6" s="5" t="s">
        <v>10</v>
      </c>
      <c r="E6" s="5">
        <v>8</v>
      </c>
      <c r="F6" s="5">
        <v>5</v>
      </c>
    </row>
    <row r="7" spans="1:6" x14ac:dyDescent="0.3">
      <c r="A7" s="5">
        <v>6</v>
      </c>
      <c r="B7" s="5" t="s">
        <v>14</v>
      </c>
      <c r="C7" s="5" t="s">
        <v>9</v>
      </c>
      <c r="D7" s="5" t="s">
        <v>12</v>
      </c>
      <c r="E7" s="5">
        <v>30</v>
      </c>
      <c r="F7" s="5">
        <v>3</v>
      </c>
    </row>
    <row r="8" spans="1:6" x14ac:dyDescent="0.3">
      <c r="A8" s="5">
        <v>7</v>
      </c>
      <c r="B8" s="5" t="s">
        <v>14</v>
      </c>
      <c r="C8" s="5" t="s">
        <v>11</v>
      </c>
      <c r="D8" s="5" t="s">
        <v>8</v>
      </c>
      <c r="E8" s="5">
        <v>18</v>
      </c>
      <c r="F8" s="5">
        <v>4</v>
      </c>
    </row>
    <row r="9" spans="1:6" x14ac:dyDescent="0.3">
      <c r="A9" s="5">
        <v>8</v>
      </c>
      <c r="B9" s="5" t="s">
        <v>14</v>
      </c>
      <c r="C9" s="5" t="s">
        <v>13</v>
      </c>
      <c r="D9" s="5" t="s">
        <v>10</v>
      </c>
      <c r="E9" s="5">
        <v>40</v>
      </c>
      <c r="F9" s="5">
        <v>2</v>
      </c>
    </row>
    <row r="10" spans="1:6" x14ac:dyDescent="0.3">
      <c r="A10" s="5">
        <v>9</v>
      </c>
      <c r="B10" s="5" t="s">
        <v>15</v>
      </c>
      <c r="C10" s="5" t="s">
        <v>7</v>
      </c>
      <c r="D10" s="5" t="s">
        <v>12</v>
      </c>
      <c r="E10" s="5">
        <v>16</v>
      </c>
      <c r="F10" s="5">
        <v>4</v>
      </c>
    </row>
    <row r="11" spans="1:6" x14ac:dyDescent="0.3">
      <c r="A11" s="5">
        <v>10</v>
      </c>
      <c r="B11" s="5" t="s">
        <v>15</v>
      </c>
      <c r="C11" s="5" t="s">
        <v>9</v>
      </c>
      <c r="D11" s="5" t="s">
        <v>8</v>
      </c>
      <c r="E11" s="5">
        <v>22</v>
      </c>
      <c r="F11" s="5">
        <v>4</v>
      </c>
    </row>
    <row r="12" spans="1:6" x14ac:dyDescent="0.3">
      <c r="A12" s="5">
        <v>11</v>
      </c>
      <c r="B12" s="5" t="s">
        <v>15</v>
      </c>
      <c r="C12" s="5" t="s">
        <v>11</v>
      </c>
      <c r="D12" s="5" t="s">
        <v>10</v>
      </c>
      <c r="E12" s="5">
        <v>32</v>
      </c>
      <c r="F12" s="5">
        <v>3</v>
      </c>
    </row>
    <row r="13" spans="1:6" x14ac:dyDescent="0.3">
      <c r="A13" s="5">
        <v>12</v>
      </c>
      <c r="B13" s="5" t="s">
        <v>15</v>
      </c>
      <c r="C13" s="5" t="s">
        <v>13</v>
      </c>
      <c r="D13" s="5" t="s">
        <v>12</v>
      </c>
      <c r="E13" s="5">
        <v>24</v>
      </c>
      <c r="F13" s="5">
        <v>5</v>
      </c>
    </row>
    <row r="14" spans="1:6" x14ac:dyDescent="0.3">
      <c r="A14" s="5">
        <v>12</v>
      </c>
      <c r="B14" s="5" t="s">
        <v>15</v>
      </c>
      <c r="C14" s="5" t="s">
        <v>13</v>
      </c>
      <c r="D14" s="5" t="s">
        <v>12</v>
      </c>
      <c r="E14" s="5">
        <v>24</v>
      </c>
      <c r="F14" s="5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03A4D-F559-47D6-8F50-94670F6E07C8}">
  <dimension ref="A1:C5"/>
  <sheetViews>
    <sheetView workbookViewId="0">
      <selection activeCell="G2" sqref="G2"/>
    </sheetView>
  </sheetViews>
  <sheetFormatPr defaultRowHeight="14.4" x14ac:dyDescent="0.3"/>
  <cols>
    <col min="1" max="1" width="10.77734375" customWidth="1"/>
    <col min="2" max="2" width="11.5546875" bestFit="1" customWidth="1"/>
    <col min="3" max="3" width="12" customWidth="1"/>
    <col min="7" max="7" width="12.6640625" bestFit="1" customWidth="1"/>
  </cols>
  <sheetData>
    <row r="1" spans="1:3" ht="28.8" x14ac:dyDescent="0.3">
      <c r="A1" s="1" t="s">
        <v>2</v>
      </c>
      <c r="B1" s="1" t="s">
        <v>16</v>
      </c>
      <c r="C1" s="1" t="s">
        <v>17</v>
      </c>
    </row>
    <row r="2" spans="1:3" x14ac:dyDescent="0.3">
      <c r="A2" s="2" t="s">
        <v>7</v>
      </c>
      <c r="B2" s="2" t="s">
        <v>18</v>
      </c>
      <c r="C2" s="2" t="s">
        <v>19</v>
      </c>
    </row>
    <row r="3" spans="1:3" x14ac:dyDescent="0.3">
      <c r="A3" s="2" t="s">
        <v>9</v>
      </c>
      <c r="B3" s="2" t="s">
        <v>20</v>
      </c>
      <c r="C3" s="2" t="s">
        <v>19</v>
      </c>
    </row>
    <row r="4" spans="1:3" x14ac:dyDescent="0.3">
      <c r="A4" s="2" t="s">
        <v>11</v>
      </c>
      <c r="B4" s="2" t="s">
        <v>21</v>
      </c>
      <c r="C4" s="2" t="s">
        <v>22</v>
      </c>
    </row>
    <row r="5" spans="1:3" x14ac:dyDescent="0.3">
      <c r="A5" s="2" t="s">
        <v>13</v>
      </c>
      <c r="B5" s="2" t="s">
        <v>23</v>
      </c>
      <c r="C5" s="2" t="s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458BD-C077-4E14-B163-A44050D23DA8}">
  <dimension ref="A1:O13"/>
  <sheetViews>
    <sheetView workbookViewId="0">
      <selection activeCell="C10" sqref="A2:H13"/>
    </sheetView>
  </sheetViews>
  <sheetFormatPr defaultRowHeight="14.4" x14ac:dyDescent="0.3"/>
  <cols>
    <col min="1" max="1" width="10.21875" customWidth="1"/>
    <col min="2" max="2" width="8.21875" customWidth="1"/>
    <col min="3" max="3" width="9.6640625" customWidth="1"/>
    <col min="4" max="4" width="9.44140625" customWidth="1"/>
    <col min="5" max="5" width="16.5546875" customWidth="1"/>
    <col min="6" max="6" width="12.6640625" customWidth="1"/>
    <col min="7" max="7" width="12.77734375" customWidth="1"/>
    <col min="8" max="8" width="12.44140625" customWidth="1"/>
    <col min="14" max="14" width="13.77734375" style="12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17</v>
      </c>
      <c r="H1" t="s">
        <v>28</v>
      </c>
      <c r="N1" s="2" t="s">
        <v>24</v>
      </c>
      <c r="O1" s="1" t="s">
        <v>25</v>
      </c>
    </row>
    <row r="2" spans="1:15" x14ac:dyDescent="0.3">
      <c r="A2" s="6">
        <v>1</v>
      </c>
      <c r="B2" s="7" t="s">
        <v>6</v>
      </c>
      <c r="C2" s="7" t="s">
        <v>7</v>
      </c>
      <c r="D2" s="7" t="s">
        <v>8</v>
      </c>
      <c r="E2" s="7">
        <v>12</v>
      </c>
      <c r="F2" s="8">
        <v>4</v>
      </c>
      <c r="G2" t="str">
        <f>_xlfn.XLOOKUP(C2,Lookup!$A$2:$A$5,Lookup!$C$2:$C$5)</f>
        <v>Service</v>
      </c>
      <c r="H2">
        <f>IF(E2&gt;24,1,0)</f>
        <v>0</v>
      </c>
      <c r="N2" s="2" t="s">
        <v>26</v>
      </c>
      <c r="O2" s="1">
        <f>COUNTA(Raw!A2:A14)</f>
        <v>13</v>
      </c>
    </row>
    <row r="3" spans="1:15" x14ac:dyDescent="0.3">
      <c r="A3" s="9">
        <v>2</v>
      </c>
      <c r="B3" s="10" t="s">
        <v>6</v>
      </c>
      <c r="C3" s="10" t="s">
        <v>9</v>
      </c>
      <c r="D3" s="10" t="s">
        <v>10</v>
      </c>
      <c r="E3" s="10">
        <v>28</v>
      </c>
      <c r="F3" s="11">
        <v>3</v>
      </c>
      <c r="G3" t="str">
        <f>_xlfn.XLOOKUP(C3,Lookup!$A$2:$A$5,Lookup!$C$2:$C$5)</f>
        <v>Service</v>
      </c>
      <c r="H3">
        <f t="shared" ref="H3:H13" si="0">IF(E3&gt;24,1,0)</f>
        <v>1</v>
      </c>
      <c r="N3" s="2" t="s">
        <v>27</v>
      </c>
      <c r="O3" s="1">
        <f>COUNTA(A2:A13)</f>
        <v>12</v>
      </c>
    </row>
    <row r="4" spans="1:15" x14ac:dyDescent="0.3">
      <c r="A4" s="6">
        <v>3</v>
      </c>
      <c r="B4" s="7" t="s">
        <v>6</v>
      </c>
      <c r="C4" s="7" t="s">
        <v>11</v>
      </c>
      <c r="D4" s="7" t="s">
        <v>12</v>
      </c>
      <c r="E4" s="7">
        <v>36</v>
      </c>
      <c r="F4" s="8">
        <v>2</v>
      </c>
      <c r="G4" t="str">
        <f>_xlfn.XLOOKUP(C4,Lookup!$A$2:$A$5,Lookup!$C$2:$C$5)</f>
        <v>Technical</v>
      </c>
      <c r="H4">
        <f t="shared" si="0"/>
        <v>1</v>
      </c>
      <c r="N4" s="2"/>
      <c r="O4" s="1"/>
    </row>
    <row r="5" spans="1:15" x14ac:dyDescent="0.3">
      <c r="A5" s="9">
        <v>4</v>
      </c>
      <c r="B5" s="10" t="s">
        <v>6</v>
      </c>
      <c r="C5" s="10" t="s">
        <v>13</v>
      </c>
      <c r="D5" s="10" t="s">
        <v>8</v>
      </c>
      <c r="E5" s="10">
        <v>20</v>
      </c>
      <c r="F5" s="11">
        <v>4</v>
      </c>
      <c r="G5" t="str">
        <f>_xlfn.XLOOKUP(C5,Lookup!$A$2:$A$5,Lookup!$C$2:$C$5)</f>
        <v>Technical</v>
      </c>
      <c r="H5">
        <f t="shared" si="0"/>
        <v>0</v>
      </c>
    </row>
    <row r="6" spans="1:15" x14ac:dyDescent="0.3">
      <c r="A6" s="6">
        <v>5</v>
      </c>
      <c r="B6" s="7" t="s">
        <v>14</v>
      </c>
      <c r="C6" s="7" t="s">
        <v>7</v>
      </c>
      <c r="D6" s="7" t="s">
        <v>10</v>
      </c>
      <c r="E6" s="7">
        <v>8</v>
      </c>
      <c r="F6" s="8">
        <v>5</v>
      </c>
      <c r="G6" t="str">
        <f>_xlfn.XLOOKUP(C6,Lookup!$A$2:$A$5,Lookup!$C$2:$C$5)</f>
        <v>Service</v>
      </c>
      <c r="H6">
        <f t="shared" si="0"/>
        <v>0</v>
      </c>
    </row>
    <row r="7" spans="1:15" x14ac:dyDescent="0.3">
      <c r="A7" s="9">
        <v>6</v>
      </c>
      <c r="B7" s="10" t="s">
        <v>14</v>
      </c>
      <c r="C7" s="10" t="s">
        <v>9</v>
      </c>
      <c r="D7" s="10" t="s">
        <v>12</v>
      </c>
      <c r="E7" s="10">
        <v>30</v>
      </c>
      <c r="F7" s="11">
        <v>3</v>
      </c>
      <c r="G7" t="str">
        <f>_xlfn.XLOOKUP(C7,Lookup!$A$2:$A$5,Lookup!$C$2:$C$5)</f>
        <v>Service</v>
      </c>
      <c r="H7">
        <f t="shared" si="0"/>
        <v>1</v>
      </c>
    </row>
    <row r="8" spans="1:15" x14ac:dyDescent="0.3">
      <c r="A8" s="6">
        <v>7</v>
      </c>
      <c r="B8" s="7" t="s">
        <v>14</v>
      </c>
      <c r="C8" s="7" t="s">
        <v>11</v>
      </c>
      <c r="D8" s="7" t="s">
        <v>8</v>
      </c>
      <c r="E8" s="7">
        <v>18</v>
      </c>
      <c r="F8" s="8">
        <v>4</v>
      </c>
      <c r="G8" t="str">
        <f>_xlfn.XLOOKUP(C8,Lookup!$A$2:$A$5,Lookup!$C$2:$C$5)</f>
        <v>Technical</v>
      </c>
      <c r="H8">
        <f t="shared" si="0"/>
        <v>0</v>
      </c>
    </row>
    <row r="9" spans="1:15" x14ac:dyDescent="0.3">
      <c r="A9" s="9">
        <v>8</v>
      </c>
      <c r="B9" s="10" t="s">
        <v>14</v>
      </c>
      <c r="C9" s="10" t="s">
        <v>13</v>
      </c>
      <c r="D9" s="10" t="s">
        <v>10</v>
      </c>
      <c r="E9" s="10">
        <v>40</v>
      </c>
      <c r="F9" s="11">
        <v>2</v>
      </c>
      <c r="G9" t="str">
        <f>_xlfn.XLOOKUP(C9,Lookup!$A$2:$A$5,Lookup!$C$2:$C$5)</f>
        <v>Technical</v>
      </c>
      <c r="H9">
        <f t="shared" si="0"/>
        <v>1</v>
      </c>
    </row>
    <row r="10" spans="1:15" x14ac:dyDescent="0.3">
      <c r="A10" s="6">
        <v>9</v>
      </c>
      <c r="B10" s="7" t="s">
        <v>15</v>
      </c>
      <c r="C10" s="7" t="s">
        <v>7</v>
      </c>
      <c r="D10" s="7" t="s">
        <v>12</v>
      </c>
      <c r="E10" s="7">
        <v>16</v>
      </c>
      <c r="F10" s="8">
        <v>4</v>
      </c>
      <c r="G10" t="str">
        <f>_xlfn.XLOOKUP(C10,Lookup!$A$2:$A$5,Lookup!$C$2:$C$5)</f>
        <v>Service</v>
      </c>
      <c r="H10">
        <f t="shared" si="0"/>
        <v>0</v>
      </c>
    </row>
    <row r="11" spans="1:15" x14ac:dyDescent="0.3">
      <c r="A11" s="9">
        <v>10</v>
      </c>
      <c r="B11" s="10" t="s">
        <v>15</v>
      </c>
      <c r="C11" s="10" t="s">
        <v>9</v>
      </c>
      <c r="D11" s="10" t="s">
        <v>8</v>
      </c>
      <c r="E11" s="10">
        <v>22</v>
      </c>
      <c r="F11" s="11">
        <v>4</v>
      </c>
      <c r="G11" t="str">
        <f>_xlfn.XLOOKUP(C11,Lookup!$A$2:$A$5,Lookup!$C$2:$C$5)</f>
        <v>Service</v>
      </c>
      <c r="H11">
        <f t="shared" si="0"/>
        <v>0</v>
      </c>
    </row>
    <row r="12" spans="1:15" x14ac:dyDescent="0.3">
      <c r="A12" s="6">
        <v>11</v>
      </c>
      <c r="B12" s="7" t="s">
        <v>15</v>
      </c>
      <c r="C12" s="7" t="s">
        <v>11</v>
      </c>
      <c r="D12" s="7" t="s">
        <v>10</v>
      </c>
      <c r="E12" s="7">
        <v>32</v>
      </c>
      <c r="F12" s="8">
        <v>3</v>
      </c>
      <c r="G12" t="str">
        <f>_xlfn.XLOOKUP(C12,Lookup!$A$2:$A$5,Lookup!$C$2:$C$5)</f>
        <v>Technical</v>
      </c>
      <c r="H12">
        <f t="shared" si="0"/>
        <v>1</v>
      </c>
    </row>
    <row r="13" spans="1:15" x14ac:dyDescent="0.3">
      <c r="A13" s="9">
        <v>12</v>
      </c>
      <c r="B13" s="10" t="s">
        <v>15</v>
      </c>
      <c r="C13" s="10" t="s">
        <v>13</v>
      </c>
      <c r="D13" s="10" t="s">
        <v>12</v>
      </c>
      <c r="E13" s="10">
        <v>24</v>
      </c>
      <c r="F13" s="11">
        <v>5</v>
      </c>
      <c r="G13" t="str">
        <f>_xlfn.XLOOKUP(C13,Lookup!$A$2:$A$5,Lookup!$C$2:$C$5)</f>
        <v>Technical</v>
      </c>
      <c r="H13">
        <f t="shared" si="0"/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65239-ACE1-4417-BC73-D01CD327BBCB}">
  <dimension ref="A1:L16"/>
  <sheetViews>
    <sheetView workbookViewId="0">
      <selection activeCell="H15" sqref="H15"/>
    </sheetView>
  </sheetViews>
  <sheetFormatPr defaultRowHeight="14.4" x14ac:dyDescent="0.3"/>
  <cols>
    <col min="1" max="1" width="23.77734375" bestFit="1" customWidth="1"/>
    <col min="2" max="2" width="17.109375" customWidth="1"/>
    <col min="3" max="3" width="4.109375" bestFit="1" customWidth="1"/>
    <col min="4" max="4" width="5" bestFit="1" customWidth="1"/>
    <col min="5" max="5" width="10.5546875" bestFit="1" customWidth="1"/>
    <col min="8" max="8" width="23.77734375" bestFit="1" customWidth="1"/>
    <col min="9" max="9" width="15.5546875" bestFit="1" customWidth="1"/>
    <col min="10" max="10" width="4.109375" style="13" bestFit="1" customWidth="1"/>
    <col min="11" max="11" width="5" bestFit="1" customWidth="1"/>
    <col min="12" max="12" width="10.5546875" bestFit="1" customWidth="1"/>
  </cols>
  <sheetData>
    <row r="1" spans="1:12" ht="28.8" x14ac:dyDescent="0.3">
      <c r="A1" s="18" t="s">
        <v>29</v>
      </c>
      <c r="B1" s="19" t="s">
        <v>30</v>
      </c>
      <c r="J1"/>
      <c r="L1" s="13"/>
    </row>
    <row r="2" spans="1:12" x14ac:dyDescent="0.3">
      <c r="A2" s="20" t="s">
        <v>8</v>
      </c>
      <c r="B2" s="21">
        <f>COUNTIFS(Clean!$D$2:$D$13,A2,Clean!$H$2:$H$13,1)</f>
        <v>0</v>
      </c>
      <c r="J2"/>
      <c r="L2" s="13"/>
    </row>
    <row r="3" spans="1:12" x14ac:dyDescent="0.3">
      <c r="A3" s="20" t="s">
        <v>10</v>
      </c>
      <c r="B3" s="21">
        <f>COUNTIFS(Clean!$D$2:$D$13,A3,Clean!$H$2:$H$13,1)</f>
        <v>3</v>
      </c>
      <c r="J3"/>
      <c r="L3" s="13"/>
    </row>
    <row r="4" spans="1:12" x14ac:dyDescent="0.3">
      <c r="A4" s="22" t="s">
        <v>12</v>
      </c>
      <c r="B4" s="23">
        <f>COUNTIFS(Clean!$D$2:$D$13,A4,Clean!$H$2:$H$13,1)</f>
        <v>2</v>
      </c>
      <c r="J4"/>
      <c r="L4" s="13"/>
    </row>
    <row r="5" spans="1:12" x14ac:dyDescent="0.3">
      <c r="J5"/>
      <c r="L5" s="13"/>
    </row>
    <row r="6" spans="1:12" x14ac:dyDescent="0.3">
      <c r="A6" s="14" t="s">
        <v>34</v>
      </c>
      <c r="B6" s="14" t="s">
        <v>33</v>
      </c>
      <c r="C6" s="15"/>
      <c r="D6" s="15"/>
      <c r="E6" s="15"/>
      <c r="J6"/>
      <c r="L6" s="13"/>
    </row>
    <row r="7" spans="1:12" x14ac:dyDescent="0.3">
      <c r="A7" s="14" t="s">
        <v>31</v>
      </c>
      <c r="B7" s="15" t="s">
        <v>6</v>
      </c>
      <c r="C7" s="15" t="s">
        <v>14</v>
      </c>
      <c r="D7" s="15" t="s">
        <v>15</v>
      </c>
      <c r="E7" s="15" t="s">
        <v>32</v>
      </c>
    </row>
    <row r="8" spans="1:12" x14ac:dyDescent="0.3">
      <c r="A8" s="15" t="s">
        <v>19</v>
      </c>
      <c r="B8" s="16">
        <v>20</v>
      </c>
      <c r="C8" s="16">
        <v>19</v>
      </c>
      <c r="D8" s="16">
        <v>19</v>
      </c>
      <c r="E8" s="17">
        <v>19.333333333333332</v>
      </c>
    </row>
    <row r="9" spans="1:12" x14ac:dyDescent="0.3">
      <c r="A9" s="15" t="s">
        <v>22</v>
      </c>
      <c r="B9" s="16">
        <v>28</v>
      </c>
      <c r="C9" s="16">
        <v>29</v>
      </c>
      <c r="D9" s="16">
        <v>28</v>
      </c>
      <c r="E9" s="17">
        <v>28.333333333333332</v>
      </c>
    </row>
    <row r="10" spans="1:12" x14ac:dyDescent="0.3">
      <c r="A10" s="15" t="s">
        <v>32</v>
      </c>
      <c r="B10" s="16">
        <v>24</v>
      </c>
      <c r="C10" s="16">
        <v>24</v>
      </c>
      <c r="D10" s="16">
        <v>23.5</v>
      </c>
      <c r="E10" s="17">
        <v>23.833333333333332</v>
      </c>
    </row>
    <row r="12" spans="1:12" x14ac:dyDescent="0.3">
      <c r="J12"/>
    </row>
    <row r="13" spans="1:12" x14ac:dyDescent="0.3">
      <c r="J13"/>
    </row>
    <row r="14" spans="1:12" x14ac:dyDescent="0.3">
      <c r="J14"/>
    </row>
    <row r="15" spans="1:12" x14ac:dyDescent="0.3">
      <c r="J15"/>
    </row>
    <row r="16" spans="1:12" x14ac:dyDescent="0.3">
      <c r="J16"/>
    </row>
  </sheetData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Lookup</vt:lpstr>
      <vt:lpstr>Clean</vt:lpstr>
      <vt:lpstr>Summery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patel</dc:creator>
  <cp:lastModifiedBy>parth patel</cp:lastModifiedBy>
  <dcterms:created xsi:type="dcterms:W3CDTF">2026-09-29T04:08:46Z</dcterms:created>
  <dcterms:modified xsi:type="dcterms:W3CDTF">2026-09-29T04:55:10Z</dcterms:modified>
</cp:coreProperties>
</file>